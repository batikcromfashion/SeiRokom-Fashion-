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প্রোডাক্ট তালিকা" sheetId="1" state="visible" r:id="rId3"/>
    <sheet name="অর্ডার তালিকা" sheetId="2" state="visible" r:id="rId4"/>
    <sheet name="সারসংক্ষে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<sst xmlns="http://schemas.openxmlformats.org/spreadsheetml/2006/main" count="42" uniqueCount="40">
  <si>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SeiRokom Fashion — প্রোডাক্ট ও স্টক তালিকা</t>
  </si>
  <si>
    <t xml:space="preserve">নীল রঙের ঘরগুলোতে নিজের তথ্য লিখুন। বাকি ঘর নিজে হিসাব করবে।</t>
  </si>
  <si>
    <t xml:space="preserve">প্রোডাক্ট আইডি</t>
  </si>
  <si>
    <t xml:space="preserve">প্রোডাক্টের নাম</t>
  </si>
  <si>
    <t xml:space="preserve">ক্যাটাগরি</t>
  </si>
  <si>
    <t xml:space="preserve">ক্রয়মূল্য (একক)</t>
  </si>
  <si>
    <t xml:space="preserve">বিক্রয়মূল্য (একক)</t>
  </si>
  <si>
    <t xml:space="preserve">স্টকে থাকা পরিমাণ</t>
  </si>
  <si>
    <t xml:space="preserve">স্টকের মোট মূল্য (৳)</t>
  </si>
  <si>
    <t xml:space="preserve">লাভ (প্রতি একক)</t>
  </si>
  <si>
    <t xml:space="preserve">সম্ভাব্য মোট লাভ (৳)</t>
  </si>
  <si>
    <t xml:space="preserve">P001</t>
  </si>
  <si>
    <t xml:space="preserve">জামদানি শাড়ি - সোনালি পাড়</t>
  </si>
  <si>
    <t xml:space="preserve">শাড়ি</t>
  </si>
  <si>
    <t xml:space="preserve">মোট (সব প্রোডাক্ট)</t>
  </si>
  <si>
    <t xml:space="preserve">SeiRokom Fashion — অর্ডার তালিকা</t>
  </si>
  <si>
    <t xml:space="preserve">প্রতিটি অর্ডার এক লাইনে লিখুন। মোট মূল্য নিজে হিসাব হয়ে যাবে।</t>
  </si>
  <si>
    <t xml:space="preserve">অর্ডার আইডি</t>
  </si>
  <si>
    <t xml:space="preserve">তারিখ</t>
  </si>
  <si>
    <t xml:space="preserve">কাস্টমারের নাম</t>
  </si>
  <si>
    <t xml:space="preserve">মোবাইল নম্বর</t>
  </si>
  <si>
    <t xml:space="preserve">পরিমাণ</t>
  </si>
  <si>
    <t xml:space="preserve">একক মূল্য (৳)</t>
  </si>
  <si>
    <t xml:space="preserve">মোট মূল্য (৳)</t>
  </si>
  <si>
    <t xml:space="preserve">পেমেন্ট স্ট্যাটাস</t>
  </si>
  <si>
    <t xml:space="preserve">ডেলিভারি স্ট্যাটাস</t>
  </si>
  <si>
    <t xml:space="preserve">O001</t>
  </si>
  <si>
    <t xml:space="preserve">2026-09-04</t>
  </si>
  <si>
    <t xml:space="preserve">রুমা আক্তার</t>
  </si>
  <si>
    <t xml:space="preserve">01711-000000</t>
  </si>
  <si>
    <t xml:space="preserve">পরিশোধিত</t>
  </si>
  <si>
    <t xml:space="preserve">ডেলিভারি হয়েছে</t>
  </si>
  <si>
    <t xml:space="preserve">মোট বিক্রয় (সব অর্ডার)</t>
  </si>
  <si>
    <t xml:space="preserve">SeiRokom Fashion — ব্যবসার সারসংক্ষেপ</t>
  </si>
  <si>
    <t xml:space="preserve">এই পাতাটি অন্য দুই পাতা থেকে নিজে হিসাব করে দেখায় — এখানে কিছু লিখতে হবে না।</t>
  </si>
  <si>
    <t xml:space="preserve">মোট স্টক পরিমাণ (সব প্রোডাক্ট)</t>
  </si>
  <si>
    <t xml:space="preserve">স্টকে বর্তমান মূলধন (৳)</t>
  </si>
  <si>
    <t xml:space="preserve">বিক্রি হলে সম্ভাব্য মোট লাভ (৳)</t>
  </si>
  <si>
    <t xml:space="preserve">মোট অর্ডার সংখ্যা (পরিমাণ যোগফল)</t>
  </si>
  <si>
    <t xml:space="preserve">মোট বিক্রয় (৳)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</si>
</sst>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860B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AF3EA"/>
        <bgColor rgb="FFF7F7F7"/>
      </patternFill>
    </fill>
    <fill>
      <patternFill patternType="solid">
        <fgColor rgb="FFF4E9C1"/>
        <bgColor rgb="FFEAF3EA"/>
      </patternFill>
    </fill>
    <fill>
      <patternFill patternType="solid">
        <fgColor rgb="FFF7F7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7F7F7"/>
      <rgbColor rgb="FFEAF3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4E9C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7" min="4" style="0" width="16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4" t="n">
        <v>2500</v>
      </c>
      <c r="E5" s="4" t="n">
        <v>4200</v>
      </c>
      <c r="F5" s="4" t="n">
        <v>8</v>
      </c>
      <c r="G5" s="5" t="n">
        <f aca="false">D5*F5</f>
        <v>20000</v>
      </c>
      <c r="H5" s="5" t="n">
        <f aca="false">E5-D5</f>
        <v>1700</v>
      </c>
      <c r="I5" s="5" t="n">
        <f aca="false">H5*F5</f>
        <v>13600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7" t="str">
        <f aca="false">IF(F6="","",D6*F6)</f>
        <v/>
      </c>
      <c r="H6" s="7" t="str">
        <f aca="false">IF(E6="","",E6-D6)</f>
        <v/>
      </c>
      <c r="I6" s="7" t="str">
        <f aca="false">IF(F6="","",H6*F6)</f>
        <v/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7" t="str">
        <f aca="false">IF(F7="","",D7*F7)</f>
        <v/>
      </c>
      <c r="H7" s="7" t="str">
        <f aca="false">IF(E7="","",E7-D7)</f>
        <v/>
      </c>
      <c r="I7" s="7" t="str">
        <f aca="false">IF(F7="","",H7*F7)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7" t="str">
        <f aca="false">IF(F8="","",D8*F8)</f>
        <v/>
      </c>
      <c r="H8" s="7" t="str">
        <f aca="false">IF(E8="","",E8-D8)</f>
        <v/>
      </c>
      <c r="I8" s="7" t="str">
        <f aca="false">IF(F8="","",H8*F8)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7" t="str">
        <f aca="false">IF(F9="","",D9*F9)</f>
        <v/>
      </c>
      <c r="H9" s="7" t="str">
        <f aca="false">IF(E9="","",E9-D9)</f>
        <v/>
      </c>
      <c r="I9" s="7" t="str">
        <f aca="false">IF(F9="","",H9*F9)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7" t="str">
        <f aca="false">IF(F10="","",D10*F10)</f>
        <v/>
      </c>
      <c r="H10" s="7" t="str">
        <f aca="false">IF(E10="","",E10-D10)</f>
        <v/>
      </c>
      <c r="I10" s="7" t="str">
        <f aca="false">IF(F10="","",H10*F10)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7" t="str">
        <f aca="false">IF(F11="","",D11*F11)</f>
        <v/>
      </c>
      <c r="H11" s="7" t="str">
        <f aca="false">IF(E11="","",E11-D11)</f>
        <v/>
      </c>
      <c r="I11" s="7" t="str">
        <f aca="false">IF(F11="","",H11*F11)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7" t="str">
        <f aca="false">IF(F12="","",D12*F12)</f>
        <v/>
      </c>
      <c r="H12" s="7" t="str">
        <f aca="false">IF(E12="","",E12-D12)</f>
        <v/>
      </c>
      <c r="I12" s="7" t="str">
        <f aca="false">IF(F12="","",H12*F12)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7" t="str">
        <f aca="false">IF(F13="","",D13*F13)</f>
        <v/>
      </c>
      <c r="H13" s="7" t="str">
        <f aca="false">IF(E13="","",E13-D13)</f>
        <v/>
      </c>
      <c r="I13" s="7" t="str">
        <f aca="false">IF(F13="","",H13*F13)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7" t="str">
        <f aca="false">IF(F14="","",D14*F14)</f>
        <v/>
      </c>
      <c r="H14" s="7" t="str">
        <f aca="false">IF(E14="","",E14-D14)</f>
        <v/>
      </c>
      <c r="I14" s="7" t="str">
        <f aca="false">IF(F14="","",H14*F14)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7" t="str">
        <f aca="false">IF(F15="","",D15*F15)</f>
        <v/>
      </c>
      <c r="H15" s="7" t="str">
        <f aca="false">IF(E15="","",E15-D15)</f>
        <v/>
      </c>
      <c r="I15" s="7" t="str">
        <f aca="false">IF(F15="","",H15*F15)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7" t="str">
        <f aca="false">IF(F16="","",D16*F16)</f>
        <v/>
      </c>
      <c r="H16" s="7" t="str">
        <f aca="false">IF(E16="","",E16-D16)</f>
        <v/>
      </c>
      <c r="I16" s="7" t="str">
        <f aca="false">IF(F16="","",H16*F16)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7" t="str">
        <f aca="false">IF(F17="","",D17*F17)</f>
        <v/>
      </c>
      <c r="H17" s="7" t="str">
        <f aca="false">IF(E17="","",E17-D17)</f>
        <v/>
      </c>
      <c r="I17" s="7" t="str">
        <f aca="false">IF(F17="","",H17*F17)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7" t="str">
        <f aca="false">IF(F18="","",D18*F18)</f>
        <v/>
      </c>
      <c r="H18" s="7" t="str">
        <f aca="false">IF(E18="","",E18-D18)</f>
        <v/>
      </c>
      <c r="I18" s="7" t="str">
        <f aca="false">IF(F18="","",H18*F18)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7" t="str">
        <f aca="false">IF(F19="","",D19*F19)</f>
        <v/>
      </c>
      <c r="H19" s="7" t="str">
        <f aca="false">IF(E19="","",E19-D19)</f>
        <v/>
      </c>
      <c r="I19" s="7" t="str">
        <f aca="false">IF(F19="","",H19*F19)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7" t="str">
        <f aca="false">IF(F20="","",D20*F20)</f>
        <v/>
      </c>
      <c r="H20" s="7" t="str">
        <f aca="false">IF(E20="","",E20-D20)</f>
        <v/>
      </c>
      <c r="I20" s="7" t="str">
        <f aca="false">IF(F20="","",H20*F20)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7" t="str">
        <f aca="false">IF(F21="","",D21*F21)</f>
        <v/>
      </c>
      <c r="H21" s="7" t="str">
        <f aca="false">IF(E21="","",E21-D21)</f>
        <v/>
      </c>
      <c r="I21" s="7" t="str">
        <f aca="false">IF(F21="","",H21*F21)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7" t="str">
        <f aca="false">IF(F22="","",D22*F22)</f>
        <v/>
      </c>
      <c r="H22" s="7" t="str">
        <f aca="false">IF(E22="","",E22-D22)</f>
        <v/>
      </c>
      <c r="I22" s="7" t="str">
        <f aca="false">IF(F22="","",H22*F22)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7" t="str">
        <f aca="false">IF(F23="","",D23*F23)</f>
        <v/>
      </c>
      <c r="H23" s="7" t="str">
        <f aca="false">IF(E23="","",E23-D23)</f>
        <v/>
      </c>
      <c r="I23" s="7" t="str">
        <f aca="false">IF(F23="","",H23*F23)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7" t="str">
        <f aca="false">IF(F24="","",D24*F24)</f>
        <v/>
      </c>
      <c r="H24" s="7" t="str">
        <f aca="false">IF(E24="","",E24-D24)</f>
        <v/>
      </c>
      <c r="I24" s="7" t="str">
        <f aca="false">IF(F24="","",H24*F24)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7" t="str">
        <f aca="false">IF(F25="","",D25*F25)</f>
        <v/>
      </c>
      <c r="H25" s="7" t="str">
        <f aca="false">IF(E25="","",E25-D25)</f>
        <v/>
      </c>
      <c r="I25" s="7" t="str">
        <f aca="false">IF(F25="","",H25*F25)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7" t="str">
        <f aca="false">IF(F26="","",D26*F26)</f>
        <v/>
      </c>
      <c r="H26" s="7" t="str">
        <f aca="false">IF(E26="","",E26-D26)</f>
        <v/>
      </c>
      <c r="I26" s="7" t="str">
        <f aca="false">IF(F26="","",H26*F26)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7" t="str">
        <f aca="false">IF(F27="","",D27*F27)</f>
        <v/>
      </c>
      <c r="H27" s="7" t="str">
        <f aca="false">IF(E27="","",E27-D27)</f>
        <v/>
      </c>
      <c r="I27" s="7" t="str">
        <f aca="false">IF(F27="","",H27*F27)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7" t="str">
        <f aca="false">IF(F28="","",D28*F28)</f>
        <v/>
      </c>
      <c r="H28" s="7" t="str">
        <f aca="false">IF(E28="","",E28-D28)</f>
        <v/>
      </c>
      <c r="I28" s="7" t="str">
        <f aca="false">IF(F28="","",H28*F28)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7" t="str">
        <f aca="false">IF(F29="","",D29*F29)</f>
        <v/>
      </c>
      <c r="H29" s="7" t="str">
        <f aca="false">IF(E29="","",E29-D29)</f>
        <v/>
      </c>
      <c r="I29" s="7" t="str">
        <f aca="false">IF(F29="","",H29*F29)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7" t="str">
        <f aca="false">IF(F30="","",D30*F30)</f>
        <v/>
      </c>
      <c r="H30" s="7" t="str">
        <f aca="false">IF(E30="","",E30-D30)</f>
        <v/>
      </c>
      <c r="I30" s="7" t="str">
        <f aca="false">IF(F30="","",H30*F30)</f>
        <v/>
      </c>
    </row>
    <row r="32" customFormat="false" ht="15" hidden="false" customHeight="false" outlineLevel="0" collapsed="false">
      <c r="A32" s="8"/>
      <c r="B32" s="9" t="s">
        <v>14</v>
      </c>
      <c r="C32" s="8"/>
      <c r="D32" s="8"/>
      <c r="E32" s="8"/>
      <c r="F32" s="10" t="n">
        <f aca="false">SUM(F5:F30)</f>
        <v>8</v>
      </c>
      <c r="G32" s="10" t="n">
        <f aca="false">SUM(G5:G30)</f>
        <v>20000</v>
      </c>
      <c r="H32" s="8"/>
      <c r="I32" s="10" t="n">
        <f aca="false">SUM(I5:I30)</f>
        <v>13600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18.65" hidden="false" customHeight="false" outlineLevel="0" collapsed="false">
      <c r="A1" s="1" t="s">
        <v>15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16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20</v>
      </c>
      <c r="E4" s="3" t="s">
        <v>3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</row>
    <row r="5" customFormat="false" ht="15" hidden="false" customHeight="false" outlineLevel="0" collapsed="false">
      <c r="A5" s="4" t="s">
        <v>26</v>
      </c>
      <c r="B5" s="4" t="s">
        <v>27</v>
      </c>
      <c r="C5" s="4" t="s">
        <v>28</v>
      </c>
      <c r="D5" s="4" t="s">
        <v>29</v>
      </c>
      <c r="E5" s="4" t="s">
        <v>12</v>
      </c>
      <c r="F5" s="4" t="n">
        <v>1</v>
      </c>
      <c r="G5" s="4" t="n">
        <v>4200</v>
      </c>
      <c r="H5" s="5" t="n">
        <f aca="false">F5*G5</f>
        <v>4200</v>
      </c>
      <c r="I5" s="11" t="s">
        <v>30</v>
      </c>
      <c r="J5" s="11" t="s">
        <v>31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7" t="str">
        <f aca="false">IF(OR(F6="",G6=""),"",F6*G6)</f>
        <v/>
      </c>
      <c r="I6" s="6"/>
      <c r="J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7" t="str">
        <f aca="false">IF(OR(F7="",G7=""),"",F7*G7)</f>
        <v/>
      </c>
      <c r="I7" s="6"/>
      <c r="J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7" t="str">
        <f aca="false">IF(OR(F8="",G8=""),"",F8*G8)</f>
        <v/>
      </c>
      <c r="I8" s="6"/>
      <c r="J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7" t="str">
        <f aca="false">IF(OR(F9="",G9=""),"",F9*G9)</f>
        <v/>
      </c>
      <c r="I9" s="6"/>
      <c r="J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7" t="str">
        <f aca="false">IF(OR(F10="",G10=""),"",F10*G10)</f>
        <v/>
      </c>
      <c r="I10" s="6"/>
      <c r="J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7" t="str">
        <f aca="false">IF(OR(F11="",G11=""),"",F11*G11)</f>
        <v/>
      </c>
      <c r="I11" s="6"/>
      <c r="J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7" t="str">
        <f aca="false">IF(OR(F12="",G12=""),"",F12*G12)</f>
        <v/>
      </c>
      <c r="I12" s="6"/>
      <c r="J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7" t="str">
        <f aca="false">IF(OR(F13="",G13=""),"",F13*G13)</f>
        <v/>
      </c>
      <c r="I13" s="6"/>
      <c r="J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7" t="str">
        <f aca="false">IF(OR(F14="",G14=""),"",F14*G14)</f>
        <v/>
      </c>
      <c r="I14" s="6"/>
      <c r="J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7" t="str">
        <f aca="false">IF(OR(F15="",G15=""),"",F15*G15)</f>
        <v/>
      </c>
      <c r="I15" s="6"/>
      <c r="J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7" t="str">
        <f aca="false">IF(OR(F16="",G16=""),"",F16*G16)</f>
        <v/>
      </c>
      <c r="I16" s="6"/>
      <c r="J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7" t="str">
        <f aca="false">IF(OR(F17="",G17=""),"",F17*G17)</f>
        <v/>
      </c>
      <c r="I17" s="6"/>
      <c r="J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7" t="str">
        <f aca="false">IF(OR(F18="",G18=""),"",F18*G18)</f>
        <v/>
      </c>
      <c r="I18" s="6"/>
      <c r="J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  <c r="H19" s="7" t="str">
        <f aca="false">IF(OR(F19="",G19=""),"",F19*G19)</f>
        <v/>
      </c>
      <c r="I19" s="6"/>
      <c r="J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7" t="str">
        <f aca="false">IF(OR(F20="",G20=""),"",F20*G20)</f>
        <v/>
      </c>
      <c r="I20" s="6"/>
      <c r="J20" s="6"/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6"/>
      <c r="H21" s="7" t="str">
        <f aca="false">IF(OR(F21="",G21=""),"",F21*G21)</f>
        <v/>
      </c>
      <c r="I21" s="6"/>
      <c r="J21" s="6"/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6"/>
      <c r="H22" s="7" t="str">
        <f aca="false">IF(OR(F22="",G22=""),"",F22*G22)</f>
        <v/>
      </c>
      <c r="I22" s="6"/>
      <c r="J22" s="6"/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6"/>
      <c r="H23" s="7" t="str">
        <f aca="false">IF(OR(F23="",G23=""),"",F23*G23)</f>
        <v/>
      </c>
      <c r="I23" s="6"/>
      <c r="J23" s="6"/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6"/>
      <c r="H24" s="7" t="str">
        <f aca="false">IF(OR(F24="",G24=""),"",F24*G24)</f>
        <v/>
      </c>
      <c r="I24" s="6"/>
      <c r="J24" s="6"/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6"/>
      <c r="H25" s="7" t="str">
        <f aca="false">IF(OR(F25="",G25=""),"",F25*G25)</f>
        <v/>
      </c>
      <c r="I25" s="6"/>
      <c r="J25" s="6"/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6"/>
      <c r="H26" s="7" t="str">
        <f aca="false">IF(OR(F26="",G26=""),"",F26*G26)</f>
        <v/>
      </c>
      <c r="I26" s="6"/>
      <c r="J26" s="6"/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6"/>
      <c r="H27" s="7" t="str">
        <f aca="false">IF(OR(F27="",G27=""),"",F27*G27)</f>
        <v/>
      </c>
      <c r="I27" s="6"/>
      <c r="J27" s="6"/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6"/>
      <c r="H28" s="7" t="str">
        <f aca="false">IF(OR(F28="",G28=""),"",F28*G28)</f>
        <v/>
      </c>
      <c r="I28" s="6"/>
      <c r="J28" s="6"/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6"/>
      <c r="H29" s="7" t="str">
        <f aca="false">IF(OR(F29="",G29=""),"",F29*G29)</f>
        <v/>
      </c>
      <c r="I29" s="6"/>
      <c r="J29" s="6"/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6"/>
      <c r="H30" s="7" t="str">
        <f aca="false">IF(OR(F30="",G30=""),"",F30*G30)</f>
        <v/>
      </c>
      <c r="I30" s="6"/>
      <c r="J30" s="6"/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6"/>
      <c r="H31" s="7" t="str">
        <f aca="false">IF(OR(F31="",G31=""),"",F31*G31)</f>
        <v/>
      </c>
      <c r="I31" s="6"/>
      <c r="J31" s="6"/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6"/>
      <c r="H32" s="7" t="str">
        <f aca="false">IF(OR(F32="",G32=""),"",F32*G32)</f>
        <v/>
      </c>
      <c r="I32" s="6"/>
      <c r="J32" s="6"/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6"/>
      <c r="H33" s="7" t="str">
        <f aca="false">IF(OR(F33="",G33=""),"",F33*G33)</f>
        <v/>
      </c>
      <c r="I33" s="6"/>
      <c r="J33" s="6"/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6"/>
      <c r="H34" s="7" t="str">
        <f aca="false">IF(OR(F34="",G34=""),"",F34*G34)</f>
        <v/>
      </c>
      <c r="I34" s="6"/>
      <c r="J34" s="6"/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6"/>
      <c r="H35" s="7" t="str">
        <f aca="false">IF(OR(F35="",G35=""),"",F35*G35)</f>
        <v/>
      </c>
      <c r="I35" s="6"/>
      <c r="J35" s="6"/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6"/>
      <c r="H36" s="7" t="str">
        <f aca="false">IF(OR(F36="",G36=""),"",F36*G36)</f>
        <v/>
      </c>
      <c r="I36" s="6"/>
      <c r="J36" s="6"/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6"/>
      <c r="H37" s="7" t="str">
        <f aca="false">IF(OR(F37="",G37=""),"",F37*G37)</f>
        <v/>
      </c>
      <c r="I37" s="6"/>
      <c r="J37" s="6"/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6"/>
      <c r="H38" s="7" t="str">
        <f aca="false">IF(OR(F38="",G38=""),"",F38*G38)</f>
        <v/>
      </c>
      <c r="I38" s="6"/>
      <c r="J38" s="6"/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6"/>
      <c r="H39" s="7" t="str">
        <f aca="false">IF(OR(F39="",G39=""),"",F39*G39)</f>
        <v/>
      </c>
      <c r="I39" s="6"/>
      <c r="J39" s="6"/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6"/>
      <c r="H40" s="7" t="str">
        <f aca="false">IF(OR(F40="",G40=""),"",F40*G40)</f>
        <v/>
      </c>
      <c r="I40" s="6"/>
      <c r="J40" s="6"/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6"/>
      <c r="H41" s="7" t="str">
        <f aca="false">IF(OR(F41="",G41=""),"",F41*G41)</f>
        <v/>
      </c>
      <c r="I41" s="6"/>
      <c r="J41" s="6"/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6"/>
      <c r="H42" s="7" t="str">
        <f aca="false">IF(OR(F42="",G42=""),"",F42*G42)</f>
        <v/>
      </c>
      <c r="I42" s="6"/>
      <c r="J42" s="6"/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6"/>
      <c r="H43" s="7" t="str">
        <f aca="false">IF(OR(F43="",G43=""),"",F43*G43)</f>
        <v/>
      </c>
      <c r="I43" s="6"/>
      <c r="J43" s="6"/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6"/>
      <c r="H44" s="7" t="str">
        <f aca="false">IF(OR(F44="",G44=""),"",F44*G44)</f>
        <v/>
      </c>
      <c r="I44" s="6"/>
      <c r="J44" s="6"/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6"/>
      <c r="H45" s="7" t="str">
        <f aca="false">IF(OR(F45="",G45=""),"",F45*G45)</f>
        <v/>
      </c>
      <c r="I45" s="6"/>
      <c r="J45" s="6"/>
    </row>
    <row r="47" customFormat="false" ht="15" hidden="false" customHeight="false" outlineLevel="0" collapsed="false">
      <c r="A47" s="8"/>
      <c r="B47" s="8"/>
      <c r="C47" s="9" t="s">
        <v>32</v>
      </c>
      <c r="D47" s="8"/>
      <c r="E47" s="8"/>
      <c r="F47" s="9" t="n">
        <f aca="false">SUM(F5:F45)</f>
        <v>1</v>
      </c>
      <c r="G47" s="8"/>
      <c r="H47" s="10" t="n">
        <f aca="false">SUM(H5:H45)</f>
        <v>4200</v>
      </c>
      <c r="I47" s="8"/>
      <c r="J47" s="8"/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I5:I45" type="list">
      <formula1>"পরিশোধিত,বাকি আছে,আংশিক পরিশোধিত"</formula1>
      <formula2>0</formula2>
    </dataValidation>
    <dataValidation allowBlank="true" errorStyle="stop" operator="between" showDropDown="false" showErrorMessage="false" showInputMessage="false" sqref="J5:J45" type="list">
      <formula1>"প্রসেসিং,পাঠানো হয়েছে,ডেলিভারি হয়েছে,বাতিল"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</cols>
  <sheetData>
    <row r="1" customFormat="false" ht="18.65" hidden="false" customHeight="false" outlineLevel="0" collapsed="false">
      <c r="A1" s="1" t="s">
        <v>33</v>
      </c>
      <c r="B1" s="1"/>
    </row>
    <row r="2" customFormat="false" ht="15" hidden="false" customHeight="false" outlineLevel="0" collapsed="false">
      <c r="A2" s="2" t="s">
        <v>34</v>
      </c>
      <c r="B2" s="2"/>
    </row>
    <row r="4" customFormat="false" ht="15" hidden="false" customHeight="false" outlineLevel="0" collapsed="false">
      <c r="A4" s="12" t="s">
        <v>35</v>
      </c>
      <c r="B4" s="13" t="n">
        <f aca="false">'প্রোডাক্ট তালিকা'!F32</f>
        <v>8</v>
      </c>
    </row>
    <row r="5" customFormat="false" ht="15" hidden="false" customHeight="false" outlineLevel="0" collapsed="false">
      <c r="A5" s="12" t="s">
        <v>36</v>
      </c>
      <c r="B5" s="13" t="n">
        <f aca="false">'প্রোডাক্ট তালিকা'!G32</f>
        <v>20000</v>
      </c>
    </row>
    <row r="6" customFormat="false" ht="15" hidden="false" customHeight="false" outlineLevel="0" collapsed="false">
      <c r="A6" s="12" t="s">
        <v>37</v>
      </c>
      <c r="B6" s="13" t="n">
        <f aca="false">'প্রোডাক্ট তালিকা'!I32</f>
        <v>13600</v>
      </c>
    </row>
    <row r="7" customFormat="false" ht="15" hidden="false" customHeight="false" outlineLevel="0" collapsed="false">
      <c r="A7" s="12" t="s">
        <v>38</v>
      </c>
      <c r="B7" s="13" t="n">
        <f aca="false">'অর্ডার তালিকা'!F47</f>
        <v>1</v>
      </c>
    </row>
    <row r="8" customFormat="false" ht="15" hidden="false" customHeight="false" outlineLevel="0" collapsed="false">
      <c r="A8" s="12" t="s">
        <v>39</v>
      </c>
      <c r="B8" s="13" t="n">
        <f aca="false">'অর্ডার তালিকা'!H47</f>
        <v>4200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2026-09-04T16:45:15Z</dcterms:created>
  <dc:creator>openpyxl</dc:creator>
  <dc:description/>
  <dc:language>en-US</dc:language>
  <cp:lastModifiedBy/>
  <dcterms:modified xsi:type="dcterms:W3CDTF">2026-09-04T16:45:15Z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